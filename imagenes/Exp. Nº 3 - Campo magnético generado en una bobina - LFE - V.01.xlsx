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B-USR-LSUR\Desktop\"/>
    </mc:Choice>
  </mc:AlternateContent>
  <bookViews>
    <workbookView xWindow="0" yWindow="0" windowWidth="24000" windowHeight="97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B13" i="1"/>
  <c r="AB24" i="1" l="1"/>
  <c r="AB32" i="1"/>
  <c r="AB40" i="1"/>
  <c r="AB48" i="1"/>
  <c r="AB34" i="1"/>
  <c r="AB50" i="1"/>
  <c r="AB51" i="1"/>
  <c r="AB36" i="1"/>
  <c r="AB29" i="1"/>
  <c r="AB53" i="1"/>
  <c r="AB46" i="1"/>
  <c r="AB47" i="1"/>
  <c r="AB25" i="1"/>
  <c r="AB33" i="1"/>
  <c r="AB41" i="1"/>
  <c r="AB49" i="1"/>
  <c r="AB26" i="1"/>
  <c r="AB42" i="1"/>
  <c r="AB35" i="1"/>
  <c r="AB28" i="1"/>
  <c r="AB52" i="1"/>
  <c r="AB45" i="1"/>
  <c r="AB30" i="1"/>
  <c r="AB31" i="1"/>
  <c r="AB27" i="1"/>
  <c r="AB43" i="1"/>
  <c r="AB44" i="1"/>
  <c r="AB37" i="1"/>
  <c r="AB38" i="1"/>
  <c r="AB39" i="1"/>
  <c r="F33" i="1"/>
  <c r="F32" i="1"/>
  <c r="F31" i="1"/>
  <c r="F25" i="1"/>
  <c r="F24" i="1"/>
  <c r="F23" i="1"/>
  <c r="AB21" i="1"/>
  <c r="E39" i="1"/>
  <c r="F28" i="1"/>
  <c r="AB20" i="1"/>
  <c r="F21" i="1"/>
  <c r="F27" i="1"/>
  <c r="AB19" i="1"/>
  <c r="F34" i="1"/>
  <c r="F26" i="1"/>
  <c r="AB23" i="1"/>
  <c r="F30" i="1"/>
  <c r="F22" i="1"/>
  <c r="AB22" i="1"/>
  <c r="F29" i="1"/>
  <c r="AB18" i="1"/>
  <c r="Q34" i="1"/>
  <c r="C39" i="1" l="1"/>
  <c r="D39" i="1" s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G21" i="1" l="1"/>
  <c r="G24" i="1"/>
  <c r="G32" i="1"/>
  <c r="G25" i="1"/>
  <c r="G33" i="1"/>
  <c r="G26" i="1"/>
  <c r="G34" i="1"/>
  <c r="G27" i="1"/>
  <c r="G28" i="1"/>
  <c r="G29" i="1"/>
  <c r="G22" i="1"/>
  <c r="G30" i="1"/>
  <c r="G23" i="1"/>
  <c r="G31" i="1"/>
  <c r="F39" i="1" l="1"/>
</calcChain>
</file>

<file path=xl/sharedStrings.xml><?xml version="1.0" encoding="utf-8"?>
<sst xmlns="http://schemas.openxmlformats.org/spreadsheetml/2006/main" count="40" uniqueCount="38">
  <si>
    <t>Datos:</t>
  </si>
  <si>
    <t xml:space="preserve">Número de espiras </t>
  </si>
  <si>
    <t>ENSAYO</t>
  </si>
  <si>
    <t>X</t>
  </si>
  <si>
    <t>Error relativo</t>
  </si>
  <si>
    <t>N°</t>
  </si>
  <si>
    <t>(m)</t>
  </si>
  <si>
    <t>(mT)</t>
  </si>
  <si>
    <t>(T)</t>
  </si>
  <si>
    <t>(%)</t>
  </si>
  <si>
    <t>B Experimental</t>
  </si>
  <si>
    <t>Laboratorio de Física</t>
  </si>
  <si>
    <t>Datos del campo magnético teórico para el gráfico continuo.</t>
  </si>
  <si>
    <t>Posicion (m) - gráfico</t>
  </si>
  <si>
    <t>B teórico (T) - grafico</t>
  </si>
  <si>
    <t>(si se requiere modificar la fórmula de la tabla1, tambien modificar en esta tabla)</t>
  </si>
  <si>
    <r>
      <t>Permeabilidad del aire</t>
    </r>
    <r>
      <rPr>
        <sz val="11"/>
        <color theme="0"/>
        <rFont val="Calibri"/>
        <family val="2"/>
        <scheme val="minor"/>
      </rPr>
      <t xml:space="preserve"> (T.m/A)</t>
    </r>
  </si>
  <si>
    <r>
      <t xml:space="preserve">Diametro </t>
    </r>
    <r>
      <rPr>
        <sz val="11"/>
        <color theme="0"/>
        <rFont val="Calibri"/>
        <family val="2"/>
        <scheme val="minor"/>
      </rPr>
      <t xml:space="preserve">(m) </t>
    </r>
  </si>
  <si>
    <t>m.</t>
  </si>
  <si>
    <r>
      <rPr>
        <b/>
        <sz val="11"/>
        <color rgb="FF002060"/>
        <rFont val="Calibri"/>
        <family val="2"/>
        <scheme val="minor"/>
      </rPr>
      <t>Figura 1:</t>
    </r>
    <r>
      <rPr>
        <sz val="11"/>
        <color rgb="FF002060"/>
        <rFont val="Calibri"/>
        <family val="2"/>
        <scheme val="minor"/>
      </rPr>
      <t xml:space="preserve"> </t>
    </r>
    <r>
      <rPr>
        <i/>
        <sz val="11"/>
        <color rgb="FF002060"/>
        <rFont val="Calibri"/>
        <family val="2"/>
        <scheme val="minor"/>
      </rPr>
      <t>Se muestra el comportamiento del campo magnético con un máximo en la posición x =</t>
    </r>
  </si>
  <si>
    <r>
      <rPr>
        <b/>
        <sz val="11"/>
        <color rgb="FF002060"/>
        <rFont val="Calibri"/>
        <family val="2"/>
        <scheme val="minor"/>
      </rPr>
      <t>Tabla 1:</t>
    </r>
    <r>
      <rPr>
        <sz val="11"/>
        <color rgb="FF002060"/>
        <rFont val="Calibri"/>
        <family val="2"/>
        <scheme val="minor"/>
      </rPr>
      <t xml:space="preserve"> </t>
    </r>
    <r>
      <rPr>
        <i/>
        <sz val="11"/>
        <color rgb="FF002060"/>
        <rFont val="Calibri"/>
        <family val="2"/>
        <scheme val="minor"/>
      </rPr>
      <t>Campo magnético generado en una bobina en la que circula una corriente I.</t>
    </r>
  </si>
  <si>
    <r>
      <rPr>
        <b/>
        <sz val="11"/>
        <color rgb="FF002060"/>
        <rFont val="Calibri"/>
        <family val="2"/>
        <scheme val="minor"/>
      </rPr>
      <t>Tabla 2:</t>
    </r>
    <r>
      <rPr>
        <sz val="11"/>
        <color rgb="FF002060"/>
        <rFont val="Calibri"/>
        <family val="2"/>
        <scheme val="minor"/>
      </rPr>
      <t xml:space="preserve"> </t>
    </r>
    <r>
      <rPr>
        <i/>
        <sz val="11"/>
        <color rgb="FF002060"/>
        <rFont val="Calibri"/>
        <family val="2"/>
        <scheme val="minor"/>
      </rPr>
      <t>Cálculo de la permeabilidad del aire a partir del campo magnético generado en una bobina.</t>
    </r>
  </si>
  <si>
    <r>
      <rPr>
        <b/>
        <i/>
        <sz val="11"/>
        <color theme="0"/>
        <rFont val="Calibri"/>
        <family val="2"/>
        <scheme val="minor"/>
      </rPr>
      <t>B</t>
    </r>
    <r>
      <rPr>
        <b/>
        <i/>
        <vertAlign val="subscript"/>
        <sz val="11"/>
        <color theme="0"/>
        <rFont val="Calibri"/>
        <family val="2"/>
        <scheme val="minor"/>
      </rPr>
      <t>o</t>
    </r>
    <r>
      <rPr>
        <b/>
        <sz val="11"/>
        <color theme="0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 xml:space="preserve">(mT) </t>
    </r>
    <r>
      <rPr>
        <b/>
        <sz val="11"/>
        <color theme="0"/>
        <rFont val="Calibri"/>
        <family val="2"/>
        <scheme val="minor"/>
      </rPr>
      <t xml:space="preserve">              </t>
    </r>
  </si>
  <si>
    <r>
      <rPr>
        <b/>
        <i/>
        <sz val="11"/>
        <color theme="0"/>
        <rFont val="Calibri"/>
        <family val="2"/>
        <scheme val="minor"/>
      </rPr>
      <t>Intensidad de corriente I</t>
    </r>
    <r>
      <rPr>
        <b/>
        <sz val="11"/>
        <color theme="0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(A)</t>
    </r>
  </si>
  <si>
    <r>
      <rPr>
        <b/>
        <i/>
        <sz val="11"/>
        <color theme="0"/>
        <rFont val="Calibri"/>
        <family val="2"/>
        <scheme val="minor"/>
      </rPr>
      <t>k</t>
    </r>
    <r>
      <rPr>
        <b/>
        <sz val="11"/>
        <color theme="0"/>
        <rFont val="Calibri"/>
        <family val="2"/>
        <scheme val="minor"/>
      </rPr>
      <t xml:space="preserve">
</t>
    </r>
    <r>
      <rPr>
        <sz val="11"/>
        <color theme="0"/>
        <rFont val="Calibri"/>
        <family val="2"/>
        <scheme val="minor"/>
      </rPr>
      <t>(mT.m</t>
    </r>
    <r>
      <rPr>
        <vertAlign val="superscript"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>)</t>
    </r>
  </si>
  <si>
    <r>
      <rPr>
        <b/>
        <i/>
        <sz val="11"/>
        <color theme="0"/>
        <rFont val="Calibri"/>
        <family val="2"/>
        <scheme val="minor"/>
      </rPr>
      <t>k</t>
    </r>
    <r>
      <rPr>
        <b/>
        <sz val="11"/>
        <color theme="0"/>
        <rFont val="Calibri"/>
        <family val="2"/>
        <scheme val="minor"/>
      </rPr>
      <t xml:space="preserve">
</t>
    </r>
    <r>
      <rPr>
        <sz val="11"/>
        <color theme="0"/>
        <rFont val="Calibri"/>
        <family val="2"/>
        <scheme val="minor"/>
      </rPr>
      <t>(T.m</t>
    </r>
    <r>
      <rPr>
        <vertAlign val="superscript"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>)</t>
    </r>
  </si>
  <si>
    <r>
      <rPr>
        <b/>
        <i/>
        <sz val="11"/>
        <color theme="0"/>
        <rFont val="Calibri"/>
        <family val="2"/>
      </rPr>
      <t>µ</t>
    </r>
    <r>
      <rPr>
        <b/>
        <i/>
        <vertAlign val="subscript"/>
        <sz val="11"/>
        <color theme="0"/>
        <rFont val="Calibri"/>
        <family val="2"/>
      </rPr>
      <t>0-exp</t>
    </r>
    <r>
      <rPr>
        <b/>
        <vertAlign val="subscript"/>
        <sz val="11"/>
        <color theme="0"/>
        <rFont val="Calibri"/>
        <family val="2"/>
      </rPr>
      <t xml:space="preserve">
</t>
    </r>
    <r>
      <rPr>
        <sz val="11"/>
        <color theme="0"/>
        <rFont val="Calibri"/>
        <family val="2"/>
      </rPr>
      <t>(T.m/A)</t>
    </r>
  </si>
  <si>
    <r>
      <rPr>
        <b/>
        <i/>
        <sz val="11"/>
        <color theme="0"/>
        <rFont val="Calibri"/>
        <family val="2"/>
      </rPr>
      <t>µ</t>
    </r>
    <r>
      <rPr>
        <b/>
        <i/>
        <vertAlign val="subscript"/>
        <sz val="11"/>
        <color theme="0"/>
        <rFont val="Calibri"/>
        <family val="2"/>
      </rPr>
      <t>0-ref</t>
    </r>
    <r>
      <rPr>
        <b/>
        <sz val="11"/>
        <color theme="0"/>
        <rFont val="Calibri"/>
        <family val="2"/>
      </rPr>
      <t xml:space="preserve">
</t>
    </r>
    <r>
      <rPr>
        <sz val="11"/>
        <color theme="0"/>
        <rFont val="Calibri"/>
        <family val="2"/>
      </rPr>
      <t>(T.m/A)</t>
    </r>
  </si>
  <si>
    <r>
      <rPr>
        <b/>
        <i/>
        <sz val="11"/>
        <color theme="0"/>
        <rFont val="Calibri"/>
        <family val="2"/>
        <scheme val="minor"/>
      </rPr>
      <t>Error relativo</t>
    </r>
    <r>
      <rPr>
        <b/>
        <sz val="11"/>
        <color theme="0"/>
        <rFont val="Calibri"/>
        <family val="2"/>
        <scheme val="minor"/>
      </rPr>
      <t xml:space="preserve">
</t>
    </r>
    <r>
      <rPr>
        <sz val="11"/>
        <color theme="0"/>
        <rFont val="Calibri"/>
        <family val="2"/>
        <scheme val="minor"/>
      </rPr>
      <t>(%)</t>
    </r>
  </si>
  <si>
    <t>B Referencial</t>
  </si>
  <si>
    <t>Laboratorio N° 3: Campo magnético generado en una bobina</t>
  </si>
  <si>
    <r>
      <rPr>
        <b/>
        <i/>
        <sz val="11"/>
        <color theme="0"/>
        <rFont val="Calibri"/>
        <family val="2"/>
        <scheme val="minor"/>
      </rPr>
      <t>Posición del sensor X</t>
    </r>
    <r>
      <rPr>
        <b/>
        <i/>
        <vertAlign val="subscript"/>
        <sz val="11"/>
        <color theme="0"/>
        <rFont val="Calibri"/>
        <family val="2"/>
        <scheme val="minor"/>
      </rPr>
      <t>0</t>
    </r>
    <r>
      <rPr>
        <b/>
        <sz val="11"/>
        <color theme="0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(m)</t>
    </r>
  </si>
  <si>
    <t>Curso: Laboratorio de Fundamentos de Electromagnetismo</t>
  </si>
  <si>
    <t>CÓDIGO: F.LFE.HC-03</t>
  </si>
  <si>
    <t>FECHA: 27-08-2024</t>
  </si>
  <si>
    <t>VERSIÓN: 01</t>
  </si>
  <si>
    <t>ELABORADO: EQUIPO DE LAB. FÍSICA LC</t>
  </si>
  <si>
    <t>REVISADO: JEFE DE LAB. FÍSICA 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</si>
</sst>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E+00"/>
    <numFmt numFmtId="165" formatCode="0.00000"/>
    <numFmt numFmtId="166" formatCode="0.00000E+00"/>
    <numFmt numFmtId="167" formatCode="0.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73E4D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Times New Roman"/>
      <family val="1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</font>
    <font>
      <sz val="11"/>
      <color theme="0"/>
      <name val="Calibri"/>
      <family val="2"/>
    </font>
    <font>
      <vertAlign val="superscript"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b/>
      <sz val="26"/>
      <color theme="0"/>
      <name val="Times New Roman"/>
      <family val="1"/>
    </font>
    <font>
      <b/>
      <sz val="7"/>
      <color theme="0"/>
      <name val="Times New Roman"/>
      <family val="1"/>
    </font>
    <font>
      <b/>
      <sz val="22"/>
      <color theme="0"/>
      <name val="Times New Roman"/>
      <family val="1"/>
    </font>
    <font>
      <b/>
      <i/>
      <sz val="11"/>
      <color theme="0"/>
      <name val="Calibri"/>
      <family val="2"/>
      <scheme val="minor"/>
    </font>
    <font>
      <b/>
      <i/>
      <vertAlign val="subscript"/>
      <sz val="11"/>
      <color theme="0"/>
      <name val="Calibri"/>
      <family val="2"/>
      <scheme val="minor"/>
    </font>
    <font>
      <b/>
      <i/>
      <sz val="11"/>
      <color theme="0"/>
      <name val="Calibri"/>
      <family val="2"/>
    </font>
    <font>
      <b/>
      <i/>
      <vertAlign val="subscript"/>
      <sz val="11"/>
      <color theme="0"/>
      <name val="Calibri"/>
      <family val="2"/>
    </font>
    <font>
      <b/>
      <sz val="19.5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5142E"/>
        <bgColor indexed="64"/>
      </patternFill>
    </fill>
    <fill>
      <patternFill patternType="solid">
        <fgColor rgb="FF414872"/>
        <bgColor indexed="64"/>
      </patternFill>
    </fill>
    <fill>
      <patternFill patternType="solid">
        <fgColor rgb="FFD0F4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8C9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0" xfId="0" applyAlignment="1"/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5" fillId="3" borderId="1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66" fontId="0" fillId="4" borderId="18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4" borderId="19" xfId="0" applyNumberFormat="1" applyFill="1" applyBorder="1" applyAlignment="1">
      <alignment horizontal="center"/>
    </xf>
    <xf numFmtId="166" fontId="0" fillId="4" borderId="21" xfId="0" applyNumberFormat="1" applyFill="1" applyBorder="1" applyAlignment="1">
      <alignment horizontal="center"/>
    </xf>
    <xf numFmtId="166" fontId="0" fillId="4" borderId="22" xfId="0" applyNumberFormat="1" applyFill="1" applyBorder="1" applyAlignment="1">
      <alignment horizontal="center"/>
    </xf>
    <xf numFmtId="165" fontId="0" fillId="4" borderId="20" xfId="0" applyNumberForma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5" fontId="0" fillId="4" borderId="7" xfId="0" applyNumberForma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6" fillId="0" borderId="0" xfId="0" applyFont="1" applyProtection="1">
      <protection hidden="1"/>
    </xf>
    <xf numFmtId="0" fontId="6" fillId="0" borderId="0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7" fontId="14" fillId="5" borderId="24" xfId="0" applyNumberFormat="1" applyFont="1" applyFill="1" applyBorder="1"/>
    <xf numFmtId="0" fontId="14" fillId="5" borderId="25" xfId="0" applyFont="1" applyFill="1" applyBorder="1"/>
    <xf numFmtId="0" fontId="0" fillId="0" borderId="2" xfId="0" applyBorder="1" applyAlignment="1" applyProtection="1">
      <alignment horizontal="center" vertical="center"/>
      <protection locked="0"/>
    </xf>
    <xf numFmtId="167" fontId="0" fillId="0" borderId="2" xfId="0" applyNumberFormat="1" applyBorder="1" applyAlignment="1" applyProtection="1">
      <alignment horizontal="center" vertical="center" wrapText="1"/>
      <protection locked="0"/>
    </xf>
    <xf numFmtId="165" fontId="0" fillId="0" borderId="18" xfId="0" applyNumberFormat="1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165" fontId="0" fillId="0" borderId="19" xfId="0" applyNumberFormat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>
      <alignment vertical="center" wrapText="1"/>
    </xf>
    <xf numFmtId="0" fontId="18" fillId="3" borderId="13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center"/>
    </xf>
    <xf numFmtId="0" fontId="16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5" borderId="23" xfId="0" applyFont="1" applyFill="1" applyBorder="1" applyAlignment="1">
      <alignment horizontal="right"/>
    </xf>
    <xf numFmtId="0" fontId="12" fillId="5" borderId="24" xfId="0" applyFont="1" applyFill="1" applyBorder="1" applyAlignment="1">
      <alignment horizontal="right"/>
    </xf>
    <xf numFmtId="0" fontId="5" fillId="3" borderId="15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165" fontId="0" fillId="4" borderId="8" xfId="0" applyNumberFormat="1" applyFill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5142E"/>
      <color rgb="FF414872"/>
      <color rgb="FFD0F4F2"/>
      <color rgb="FFC1F1EF"/>
      <color rgb="FFB0DE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rgbClr val="414872"/>
                </a:solidFill>
              </a:rPr>
              <a:t>Campo magnético generado en una bobina</a:t>
            </a:r>
          </a:p>
        </c:rich>
      </c:tx>
      <c:layout>
        <c:manualLayout>
          <c:xMode val="edge"/>
          <c:yMode val="edge"/>
          <c:x val="0.28932298173797016"/>
          <c:y val="2.49412085436546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954560979550037"/>
          <c:y val="0.11077266544042881"/>
          <c:w val="0.84918243191497811"/>
          <c:h val="0.67607748034189574"/>
        </c:manualLayout>
      </c:layout>
      <c:scatterChart>
        <c:scatterStyle val="lineMarker"/>
        <c:varyColors val="0"/>
        <c:ser>
          <c:idx val="2"/>
          <c:order val="0"/>
          <c:tx>
            <c:v>B Teórico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Hoja1!$Y$18:$Y$53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</c:numCache>
            </c:numRef>
          </c:xVal>
          <c:yVal>
            <c:numRef>
              <c:f>Hoja1!$AB$18:$AB$53</c:f>
              <c:numCache>
                <c:formatCode>General</c:formatCode>
                <c:ptCount val="36"/>
                <c:pt idx="0">
                  <c:v>2.4353144448804604E-5</c:v>
                </c:pt>
                <c:pt idx="1">
                  <c:v>2.6318592539550037E-5</c:v>
                </c:pt>
                <c:pt idx="2">
                  <c:v>2.8732028846551462E-5</c:v>
                </c:pt>
                <c:pt idx="3">
                  <c:v>3.1721130623460023E-5</c:v>
                </c:pt>
                <c:pt idx="4">
                  <c:v>3.5456336603769821E-5</c:v>
                </c:pt>
                <c:pt idx="5">
                  <c:v>4.0166497958081624E-5</c:v>
                </c:pt>
                <c:pt idx="6">
                  <c:v>4.6159966395791912E-5</c:v>
                </c:pt>
                <c:pt idx="7">
                  <c:v>5.385198874312093E-5</c:v>
                </c:pt>
                <c:pt idx="8">
                  <c:v>6.3797664576530132E-5</c:v>
                </c:pt>
                <c:pt idx="9">
                  <c:v>7.6724928982564437E-5</c:v>
                </c:pt>
                <c:pt idx="10">
                  <c:v>9.3550107805450707E-5</c:v>
                </c:pt>
                <c:pt idx="11">
                  <c:v>1.1533267068585062E-4</c:v>
                </c:pt>
                <c:pt idx="12">
                  <c:v>1.430781854128215E-4</c:v>
                </c:pt>
                <c:pt idx="13">
                  <c:v>1.7723645028775106E-4</c:v>
                </c:pt>
                <c:pt idx="14">
                  <c:v>2.1673871604604048E-4</c:v>
                </c:pt>
                <c:pt idx="15">
                  <c:v>2.576930686853143E-4</c:v>
                </c:pt>
                <c:pt idx="16">
                  <c:v>2.9267091672506985E-4</c:v>
                </c:pt>
                <c:pt idx="17">
                  <c:v>3.1237652041745875E-4</c:v>
                </c:pt>
                <c:pt idx="18">
                  <c:v>3.1032593483505851E-4</c:v>
                </c:pt>
                <c:pt idx="19">
                  <c:v>2.8723645328719279E-4</c:v>
                </c:pt>
                <c:pt idx="20">
                  <c:v>2.505032449409491E-4</c:v>
                </c:pt>
                <c:pt idx="21">
                  <c:v>2.0936155782291726E-4</c:v>
                </c:pt>
                <c:pt idx="22">
                  <c:v>1.7063298816090951E-4</c:v>
                </c:pt>
                <c:pt idx="23">
                  <c:v>1.3761065741895075E-4</c:v>
                </c:pt>
                <c:pt idx="24">
                  <c:v>1.1099758231486077E-4</c:v>
                </c:pt>
                <c:pt idx="25">
                  <c:v>9.0187499247460154E-5</c:v>
                </c:pt>
                <c:pt idx="26">
                  <c:v>7.4139368819819157E-5</c:v>
                </c:pt>
                <c:pt idx="27">
                  <c:v>6.1811020833588213E-5</c:v>
                </c:pt>
                <c:pt idx="28">
                  <c:v>5.2319326791441535E-5</c:v>
                </c:pt>
                <c:pt idx="29">
                  <c:v>4.4969488708803415E-5</c:v>
                </c:pt>
                <c:pt idx="30">
                  <c:v>3.9234148212533728E-5</c:v>
                </c:pt>
                <c:pt idx="31">
                  <c:v>3.4719603060450397E-5</c:v>
                </c:pt>
                <c:pt idx="32">
                  <c:v>3.1133645433750305E-5</c:v>
                </c:pt>
                <c:pt idx="33">
                  <c:v>2.8259321455707473E-5</c:v>
                </c:pt>
                <c:pt idx="34">
                  <c:v>2.5934905738649039E-5</c:v>
                </c:pt>
                <c:pt idx="35">
                  <c:v>2.4039101206723989E-5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63-4B32-AEF6-DB576D5F534F}"/>
            </c:ext>
          </c:extLst>
        </c:ser>
        <c:ser>
          <c:idx val="0"/>
          <c:order val="1"/>
          <c:tx>
            <c:v>B experimental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Hoja1!$C$21:$C$34</c:f>
              <c:numCache>
                <c:formatCode>General</c:formatCode>
                <c:ptCount val="14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0.16</c:v>
                </c:pt>
                <c:pt idx="6">
                  <c:v>0.17</c:v>
                </c:pt>
                <c:pt idx="7">
                  <c:v>0.18</c:v>
                </c:pt>
                <c:pt idx="8">
                  <c:v>0.19</c:v>
                </c:pt>
                <c:pt idx="9">
                  <c:v>0.2</c:v>
                </c:pt>
                <c:pt idx="10">
                  <c:v>0.21</c:v>
                </c:pt>
                <c:pt idx="11">
                  <c:v>0.22</c:v>
                </c:pt>
                <c:pt idx="12">
                  <c:v>0.23</c:v>
                </c:pt>
                <c:pt idx="13">
                  <c:v>0.24</c:v>
                </c:pt>
              </c:numCache>
            </c:numRef>
          </c:xVal>
          <c:yVal>
            <c:numRef>
              <c:f>Hoja1!$E$21:$E$34</c:f>
              <c:numCache>
                <c:formatCode>0.00000E+00</c:formatCode>
                <c:ptCount val="14"/>
                <c:pt idx="0">
                  <c:v>1.0924529706199999E-4</c:v>
                </c:pt>
                <c:pt idx="1">
                  <c:v>1.38032909126E-4</c:v>
                </c:pt>
                <c:pt idx="2">
                  <c:v>1.7174148051699999E-4</c:v>
                </c:pt>
                <c:pt idx="3">
                  <c:v>2.0741843563900001E-4</c:v>
                </c:pt>
                <c:pt idx="4">
                  <c:v>2.4481772652499998E-4</c:v>
                </c:pt>
                <c:pt idx="5">
                  <c:v>2.8074072961299998E-4</c:v>
                </c:pt>
                <c:pt idx="6">
                  <c:v>2.9722594335899999E-4</c:v>
                </c:pt>
                <c:pt idx="7">
                  <c:v>2.9599570352700002E-4</c:v>
                </c:pt>
                <c:pt idx="8">
                  <c:v>2.7434348248799999E-4</c:v>
                </c:pt>
                <c:pt idx="9">
                  <c:v>2.3940467126500002E-4</c:v>
                </c:pt>
                <c:pt idx="10">
                  <c:v>2.00036996648E-4</c:v>
                </c:pt>
                <c:pt idx="11">
                  <c:v>1.6632842525700001E-4</c:v>
                </c:pt>
                <c:pt idx="12">
                  <c:v>1.29175182337E-4</c:v>
                </c:pt>
                <c:pt idx="13">
                  <c:v>1.05554577567E-4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3-4B32-AEF6-DB576D5F5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555256"/>
        <c:axId val="226555648"/>
      </c:scatterChart>
      <c:valAx>
        <c:axId val="226555256"/>
        <c:scaling>
          <c:orientation val="minMax"/>
          <c:max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Posición (m)</a:t>
                </a:r>
              </a:p>
            </c:rich>
          </c:tx>
          <c:layout>
            <c:manualLayout>
              <c:xMode val="edge"/>
              <c:yMode val="edge"/>
              <c:x val="0.49324542742677407"/>
              <c:y val="0.845459967658841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6555648"/>
        <c:crosses val="autoZero"/>
        <c:crossBetween val="midCat"/>
      </c:valAx>
      <c:valAx>
        <c:axId val="22655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Campo</a:t>
                </a:r>
                <a:r>
                  <a:rPr lang="es-PE" baseline="0"/>
                  <a:t> magnético (T)</a:t>
                </a:r>
                <a:endParaRPr lang="es-PE"/>
              </a:p>
            </c:rich>
          </c:tx>
          <c:layout>
            <c:manualLayout>
              <c:xMode val="edge"/>
              <c:yMode val="edge"/>
              <c:x val="1.5391136355632473E-2"/>
              <c:y val="0.270794744686151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6555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82669</xdr:colOff>
      <xdr:row>16</xdr:row>
      <xdr:rowOff>36842</xdr:rowOff>
    </xdr:from>
    <xdr:to>
      <xdr:col>17</xdr:col>
      <xdr:colOff>685081</xdr:colOff>
      <xdr:row>32</xdr:row>
      <xdr:rowOff>152400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7</xdr:row>
      <xdr:rowOff>0</xdr:rowOff>
    </xdr:from>
    <xdr:to>
      <xdr:col>7</xdr:col>
      <xdr:colOff>9525</xdr:colOff>
      <xdr:row>8</xdr:row>
      <xdr:rowOff>-8700</xdr:rowOff>
    </xdr:to>
    <xdr:cxnSp macro="">
      <xdr:nvCxnSpPr>
        <xdr:cNvPr id="9" name="Conector recto 8"/>
        <xdr:cNvCxnSpPr/>
      </xdr:nvCxnSpPr>
      <xdr:spPr>
        <a:xfrm>
          <a:off x="6819900" y="904875"/>
          <a:ext cx="0" cy="504000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95250</xdr:rowOff>
    </xdr:from>
    <xdr:to>
      <xdr:col>13</xdr:col>
      <xdr:colOff>0</xdr:colOff>
      <xdr:row>5</xdr:row>
      <xdr:rowOff>63750</xdr:rowOff>
    </xdr:to>
    <xdr:cxnSp macro="">
      <xdr:nvCxnSpPr>
        <xdr:cNvPr id="10" name="Conector recto 9"/>
        <xdr:cNvCxnSpPr/>
      </xdr:nvCxnSpPr>
      <xdr:spPr>
        <a:xfrm>
          <a:off x="10801350" y="142875"/>
          <a:ext cx="0" cy="616200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1</xdr:row>
      <xdr:rowOff>85725</xdr:rowOff>
    </xdr:from>
    <xdr:to>
      <xdr:col>3</xdr:col>
      <xdr:colOff>666750</xdr:colOff>
      <xdr:row>5</xdr:row>
      <xdr:rowOff>54225</xdr:rowOff>
    </xdr:to>
    <xdr:cxnSp macro="">
      <xdr:nvCxnSpPr>
        <xdr:cNvPr id="11" name="Conector recto 10"/>
        <xdr:cNvCxnSpPr/>
      </xdr:nvCxnSpPr>
      <xdr:spPr>
        <a:xfrm>
          <a:off x="3019425" y="133350"/>
          <a:ext cx="0" cy="616200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1</xdr:row>
      <xdr:rowOff>57150</xdr:rowOff>
    </xdr:from>
    <xdr:to>
      <xdr:col>3</xdr:col>
      <xdr:colOff>549638</xdr:colOff>
      <xdr:row>5</xdr:row>
      <xdr:rowOff>111909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04775"/>
          <a:ext cx="2730863" cy="702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53"/>
  <sheetViews>
    <sheetView tabSelected="1" topLeftCell="A16" zoomScaleNormal="100" workbookViewId="0">
      <selection activeCell="G18" sqref="G18"/>
    </sheetView>
  </sheetViews>
  <sheetFormatPr baseColWidth="10" defaultRowHeight="15" x14ac:dyDescent="0.25"/>
  <cols>
    <col min="1" max="1" width="2.42578125" customWidth="1"/>
    <col min="2" max="2" width="18.140625" customWidth="1"/>
    <col min="3" max="3" width="14.7109375" customWidth="1"/>
    <col min="4" max="4" width="16" customWidth="1"/>
    <col min="5" max="5" width="17.42578125" customWidth="1"/>
    <col min="6" max="6" width="18.5703125" customWidth="1"/>
    <col min="7" max="7" width="13.28515625" customWidth="1"/>
    <col min="8" max="8" width="4.28515625" customWidth="1"/>
    <col min="17" max="17" width="6.85546875" customWidth="1"/>
    <col min="28" max="28" width="12" bestFit="1" customWidth="1"/>
    <col min="29" max="29" width="12" customWidth="1"/>
  </cols>
  <sheetData>
    <row r="1" spans="2:29" ht="3.75" customHeight="1" x14ac:dyDescent="0.25"/>
    <row r="2" spans="2:29" ht="12.95" customHeight="1" x14ac:dyDescent="0.25">
      <c r="B2" s="69"/>
      <c r="C2" s="69"/>
      <c r="D2" s="66" t="s">
        <v>11</v>
      </c>
      <c r="E2" s="66"/>
      <c r="F2" s="66"/>
      <c r="G2" s="66"/>
      <c r="H2" s="66"/>
      <c r="I2" s="66"/>
      <c r="J2" s="66"/>
      <c r="K2" s="66"/>
      <c r="L2" s="66"/>
      <c r="M2" s="66"/>
      <c r="N2" s="65" t="s">
        <v>33</v>
      </c>
      <c r="O2" s="65"/>
      <c r="P2" s="65"/>
      <c r="Q2" s="65"/>
      <c r="R2" s="65"/>
    </row>
    <row r="3" spans="2:29" ht="12.95" customHeight="1" x14ac:dyDescent="0.25">
      <c r="B3" s="69"/>
      <c r="C3" s="69"/>
      <c r="D3" s="66"/>
      <c r="E3" s="66"/>
      <c r="F3" s="66"/>
      <c r="G3" s="66"/>
      <c r="H3" s="66"/>
      <c r="I3" s="66"/>
      <c r="J3" s="66"/>
      <c r="K3" s="66"/>
      <c r="L3" s="66"/>
      <c r="M3" s="66"/>
      <c r="N3" s="65" t="s">
        <v>35</v>
      </c>
      <c r="O3" s="65"/>
      <c r="P3" s="65"/>
      <c r="Q3" s="65"/>
      <c r="R3" s="65"/>
    </row>
    <row r="4" spans="2:29" ht="12.95" customHeight="1" x14ac:dyDescent="0.25">
      <c r="B4" s="69"/>
      <c r="C4" s="69"/>
      <c r="D4" s="66"/>
      <c r="E4" s="66"/>
      <c r="F4" s="66"/>
      <c r="G4" s="66"/>
      <c r="H4" s="66"/>
      <c r="I4" s="66"/>
      <c r="J4" s="66"/>
      <c r="K4" s="66"/>
      <c r="L4" s="66"/>
      <c r="M4" s="66"/>
      <c r="N4" s="65" t="s">
        <v>36</v>
      </c>
      <c r="O4" s="65"/>
      <c r="P4" s="65"/>
      <c r="Q4" s="65"/>
      <c r="R4" s="65"/>
    </row>
    <row r="5" spans="2:29" ht="12.95" customHeight="1" x14ac:dyDescent="0.25">
      <c r="B5" s="69"/>
      <c r="C5" s="69"/>
      <c r="D5" s="66"/>
      <c r="E5" s="66"/>
      <c r="F5" s="66"/>
      <c r="G5" s="66"/>
      <c r="H5" s="66"/>
      <c r="I5" s="66"/>
      <c r="J5" s="66"/>
      <c r="K5" s="66"/>
      <c r="L5" s="66"/>
      <c r="M5" s="66"/>
      <c r="N5" s="65" t="s">
        <v>37</v>
      </c>
      <c r="O5" s="65"/>
      <c r="P5" s="65"/>
      <c r="Q5" s="65"/>
      <c r="R5" s="65"/>
    </row>
    <row r="6" spans="2:29" ht="12.95" customHeight="1" x14ac:dyDescent="0.25">
      <c r="B6" s="69"/>
      <c r="C6" s="69"/>
      <c r="D6" s="66"/>
      <c r="E6" s="66"/>
      <c r="F6" s="66"/>
      <c r="G6" s="66"/>
      <c r="H6" s="66"/>
      <c r="I6" s="66"/>
      <c r="J6" s="66"/>
      <c r="K6" s="66"/>
      <c r="L6" s="66"/>
      <c r="M6" s="66"/>
      <c r="N6" s="65" t="s">
        <v>34</v>
      </c>
      <c r="O6" s="65"/>
      <c r="P6" s="65"/>
      <c r="Q6" s="65"/>
      <c r="R6" s="65"/>
    </row>
    <row r="7" spans="2:29" ht="3.75" customHeight="1" x14ac:dyDescent="0.25"/>
    <row r="8" spans="2:29" ht="39" customHeight="1" x14ac:dyDescent="0.25">
      <c r="B8" s="67" t="s">
        <v>32</v>
      </c>
      <c r="C8" s="67"/>
      <c r="D8" s="67"/>
      <c r="E8" s="67"/>
      <c r="F8" s="67"/>
      <c r="G8" s="67"/>
      <c r="H8" s="68" t="s">
        <v>30</v>
      </c>
      <c r="I8" s="68"/>
      <c r="J8" s="68"/>
      <c r="K8" s="68"/>
      <c r="L8" s="68"/>
      <c r="M8" s="68"/>
      <c r="N8" s="68"/>
      <c r="O8" s="68"/>
      <c r="P8" s="68"/>
      <c r="Q8" s="68"/>
      <c r="R8" s="68"/>
    </row>
    <row r="9" spans="2:29" ht="15" customHeight="1" x14ac:dyDescent="0.25">
      <c r="J9" s="12"/>
      <c r="K9" s="3"/>
      <c r="L9" s="3"/>
    </row>
    <row r="10" spans="2:29" x14ac:dyDescent="0.25">
      <c r="B10" s="70" t="s">
        <v>0</v>
      </c>
      <c r="C10" s="70"/>
      <c r="D10" s="70"/>
      <c r="F10" s="1"/>
    </row>
    <row r="11" spans="2:29" ht="6.75" customHeight="1" thickBot="1" x14ac:dyDescent="0.3">
      <c r="AB11" s="4"/>
      <c r="AC11" s="4"/>
    </row>
    <row r="12" spans="2:29" ht="30.75" customHeight="1" thickBot="1" x14ac:dyDescent="0.3">
      <c r="B12" s="13" t="s">
        <v>17</v>
      </c>
      <c r="C12" s="14" t="s">
        <v>16</v>
      </c>
      <c r="D12" s="14" t="s">
        <v>1</v>
      </c>
      <c r="E12" s="10"/>
      <c r="F12" s="5"/>
    </row>
    <row r="13" spans="2:29" ht="15.75" thickBot="1" x14ac:dyDescent="0.3">
      <c r="B13" s="31">
        <f>12.5/100</f>
        <v>0.125</v>
      </c>
      <c r="C13" s="32">
        <f>0.0000004*PI()</f>
        <v>1.2566370614359173E-6</v>
      </c>
      <c r="D13" s="22">
        <v>100</v>
      </c>
      <c r="E13" s="10"/>
      <c r="F13" s="5"/>
    </row>
    <row r="14" spans="2:29" x14ac:dyDescent="0.25">
      <c r="D14" s="33"/>
      <c r="E14" s="21"/>
      <c r="F14" s="5"/>
      <c r="Y14" s="44" t="s">
        <v>12</v>
      </c>
      <c r="Z14" s="44"/>
      <c r="AA14" s="44"/>
      <c r="AB14" s="44"/>
    </row>
    <row r="15" spans="2:29" x14ac:dyDescent="0.25">
      <c r="D15" s="6"/>
      <c r="E15" s="7"/>
      <c r="F15" s="5"/>
      <c r="Y15" s="44" t="s">
        <v>15</v>
      </c>
      <c r="Z15" s="44"/>
      <c r="AA15" s="44"/>
      <c r="AB15" s="44"/>
    </row>
    <row r="16" spans="2:29" x14ac:dyDescent="0.25">
      <c r="B16" s="71" t="s">
        <v>20</v>
      </c>
      <c r="C16" s="71"/>
      <c r="D16" s="71"/>
      <c r="E16" s="71"/>
      <c r="F16" s="71"/>
      <c r="G16" s="71"/>
      <c r="H16" s="46"/>
      <c r="Y16" s="44" t="s">
        <v>13</v>
      </c>
      <c r="Z16" s="44"/>
      <c r="AA16" s="44"/>
      <c r="AB16" s="44" t="s">
        <v>14</v>
      </c>
    </row>
    <row r="17" spans="2:29" ht="6.75" customHeight="1" thickBot="1" x14ac:dyDescent="0.3">
      <c r="Y17" s="44"/>
      <c r="Z17" s="44"/>
      <c r="AA17" s="44"/>
      <c r="AB17" s="44"/>
      <c r="AC17" s="4"/>
    </row>
    <row r="18" spans="2:29" ht="33.75" thickBot="1" x14ac:dyDescent="0.3">
      <c r="B18" s="15" t="s">
        <v>23</v>
      </c>
      <c r="C18" s="56">
        <v>0.3</v>
      </c>
      <c r="D18" s="20" t="s">
        <v>31</v>
      </c>
      <c r="E18" s="57">
        <v>0.1741</v>
      </c>
      <c r="F18" s="20" t="s">
        <v>22</v>
      </c>
      <c r="G18" s="78">
        <v>1.272E-2</v>
      </c>
      <c r="H18" s="10"/>
      <c r="I18" s="1"/>
      <c r="J18" s="1"/>
      <c r="Y18" s="44">
        <v>0</v>
      </c>
      <c r="Z18" s="44"/>
      <c r="AA18" s="44"/>
      <c r="AB18" s="45">
        <f t="shared" ref="AB18:AB53" si="0">($C$13*$D$13*$C$18*($B$13/2)*($B$13/2)*0.5)/((Y18-$E$18)^2+($B$13/2)^2)^1.5+($G$18/1000)</f>
        <v>2.4353144448804604E-5</v>
      </c>
      <c r="AC18" s="4"/>
    </row>
    <row r="19" spans="2:29" x14ac:dyDescent="0.25">
      <c r="B19" s="16" t="s">
        <v>2</v>
      </c>
      <c r="C19" s="63" t="s">
        <v>3</v>
      </c>
      <c r="D19" s="64" t="s">
        <v>10</v>
      </c>
      <c r="E19" s="63" t="s">
        <v>10</v>
      </c>
      <c r="F19" s="64" t="s">
        <v>29</v>
      </c>
      <c r="G19" s="63" t="s">
        <v>4</v>
      </c>
      <c r="H19" s="47"/>
      <c r="I19" s="2"/>
      <c r="J19" s="2"/>
      <c r="K19" s="3"/>
      <c r="Y19" s="44">
        <v>0.01</v>
      </c>
      <c r="Z19" s="44"/>
      <c r="AA19" s="44"/>
      <c r="AB19" s="45">
        <f t="shared" si="0"/>
        <v>2.6318592539550037E-5</v>
      </c>
      <c r="AC19" s="4"/>
    </row>
    <row r="20" spans="2:29" ht="15.75" thickBot="1" x14ac:dyDescent="0.3">
      <c r="B20" s="17" t="s">
        <v>5</v>
      </c>
      <c r="C20" s="18" t="s">
        <v>6</v>
      </c>
      <c r="D20" s="19" t="s">
        <v>7</v>
      </c>
      <c r="E20" s="18" t="s">
        <v>8</v>
      </c>
      <c r="F20" s="19" t="s">
        <v>8</v>
      </c>
      <c r="G20" s="18" t="s">
        <v>9</v>
      </c>
      <c r="H20" s="48"/>
      <c r="I20" s="4"/>
      <c r="J20" s="4"/>
      <c r="K20" s="3"/>
      <c r="Y20" s="44">
        <v>0.02</v>
      </c>
      <c r="Z20" s="44"/>
      <c r="AA20" s="44"/>
      <c r="AB20" s="45">
        <f t="shared" si="0"/>
        <v>2.8732028846551462E-5</v>
      </c>
      <c r="AC20" s="4"/>
    </row>
    <row r="21" spans="2:29" x14ac:dyDescent="0.25">
      <c r="B21" s="23">
        <v>1</v>
      </c>
      <c r="C21" s="24">
        <v>0.11</v>
      </c>
      <c r="D21" s="58">
        <v>0.10924529706199999</v>
      </c>
      <c r="E21" s="34">
        <f>D21/1000</f>
        <v>1.0924529706199999E-4</v>
      </c>
      <c r="F21" s="37">
        <f t="shared" ref="F21:F34" si="1">($C$13*$D$13*$C$18*($B$13/2)*($B$13/2)*0.5)/((C21-$E$18)^2+($B$13/2)^2)^1.5+($G$18/1000)</f>
        <v>1.1533267068585062E-4</v>
      </c>
      <c r="G21" s="39">
        <f t="shared" ref="G21:G34" si="2">100*ABS((F21-E21)/F21)</f>
        <v>5.2780999413702565</v>
      </c>
      <c r="H21" s="49"/>
      <c r="I21" s="3"/>
      <c r="J21" s="3"/>
      <c r="K21" s="3"/>
      <c r="Y21" s="44">
        <v>0.03</v>
      </c>
      <c r="Z21" s="44"/>
      <c r="AA21" s="44"/>
      <c r="AB21" s="45">
        <f t="shared" si="0"/>
        <v>3.1721130623460023E-5</v>
      </c>
      <c r="AC21" s="4"/>
    </row>
    <row r="22" spans="2:29" x14ac:dyDescent="0.25">
      <c r="B22" s="25">
        <v>2</v>
      </c>
      <c r="C22" s="26">
        <v>0.12</v>
      </c>
      <c r="D22" s="59">
        <v>0.138032909126</v>
      </c>
      <c r="E22" s="35">
        <f t="shared" ref="E22:E34" si="3">D22/1000</f>
        <v>1.38032909126E-4</v>
      </c>
      <c r="F22" s="35">
        <f t="shared" si="1"/>
        <v>1.430781854128215E-4</v>
      </c>
      <c r="G22" s="40">
        <f t="shared" si="2"/>
        <v>3.5262372613018842</v>
      </c>
      <c r="H22" s="49"/>
      <c r="I22" s="3"/>
      <c r="J22" s="3"/>
      <c r="K22" s="3"/>
      <c r="Y22" s="44">
        <v>0.04</v>
      </c>
      <c r="Z22" s="44"/>
      <c r="AA22" s="44"/>
      <c r="AB22" s="45">
        <f t="shared" si="0"/>
        <v>3.5456336603769821E-5</v>
      </c>
      <c r="AC22" s="4"/>
    </row>
    <row r="23" spans="2:29" x14ac:dyDescent="0.25">
      <c r="B23" s="25">
        <v>3</v>
      </c>
      <c r="C23" s="26">
        <v>0.13</v>
      </c>
      <c r="D23" s="59">
        <v>0.171741480517</v>
      </c>
      <c r="E23" s="35">
        <f t="shared" si="3"/>
        <v>1.7174148051699999E-4</v>
      </c>
      <c r="F23" s="35">
        <f t="shared" si="1"/>
        <v>1.7723645028775106E-4</v>
      </c>
      <c r="G23" s="40">
        <f>100*ABS((F23-E23)/F23)</f>
        <v>3.1003609933677589</v>
      </c>
      <c r="H23" s="49"/>
      <c r="I23" s="3"/>
      <c r="J23" s="3"/>
      <c r="K23" s="3"/>
      <c r="Y23" s="44">
        <v>0.05</v>
      </c>
      <c r="Z23" s="44"/>
      <c r="AA23" s="44"/>
      <c r="AB23" s="45">
        <f t="shared" si="0"/>
        <v>4.0166497958081624E-5</v>
      </c>
      <c r="AC23" s="4"/>
    </row>
    <row r="24" spans="2:29" x14ac:dyDescent="0.25">
      <c r="B24" s="25">
        <v>4</v>
      </c>
      <c r="C24" s="26">
        <v>0.14000000000000001</v>
      </c>
      <c r="D24" s="59">
        <v>0.207418435639</v>
      </c>
      <c r="E24" s="35">
        <f t="shared" si="3"/>
        <v>2.0741843563900001E-4</v>
      </c>
      <c r="F24" s="35">
        <f t="shared" si="1"/>
        <v>2.1673871604604048E-4</v>
      </c>
      <c r="G24" s="40">
        <f t="shared" si="2"/>
        <v>4.300237897995399</v>
      </c>
      <c r="H24" s="49"/>
      <c r="I24" s="3"/>
      <c r="J24" s="3"/>
      <c r="K24" s="3"/>
      <c r="Y24" s="44">
        <v>0.06</v>
      </c>
      <c r="Z24" s="44"/>
      <c r="AA24" s="44"/>
      <c r="AB24" s="45">
        <f t="shared" si="0"/>
        <v>4.6159966395791912E-5</v>
      </c>
      <c r="AC24" s="4"/>
    </row>
    <row r="25" spans="2:29" x14ac:dyDescent="0.25">
      <c r="B25" s="25">
        <v>5</v>
      </c>
      <c r="C25" s="26">
        <v>0.15</v>
      </c>
      <c r="D25" s="59">
        <v>0.244817726525</v>
      </c>
      <c r="E25" s="35">
        <f t="shared" si="3"/>
        <v>2.4481772652499998E-4</v>
      </c>
      <c r="F25" s="35">
        <f t="shared" si="1"/>
        <v>2.576930686853143E-4</v>
      </c>
      <c r="G25" s="40">
        <f t="shared" si="2"/>
        <v>4.9963866804804278</v>
      </c>
      <c r="H25" s="49"/>
      <c r="I25" s="3"/>
      <c r="J25" s="3"/>
      <c r="K25" s="3"/>
      <c r="Y25" s="44">
        <v>7.0000000000000007E-2</v>
      </c>
      <c r="Z25" s="44"/>
      <c r="AA25" s="44"/>
      <c r="AB25" s="45">
        <f t="shared" si="0"/>
        <v>5.385198874312093E-5</v>
      </c>
      <c r="AC25" s="4"/>
    </row>
    <row r="26" spans="2:29" x14ac:dyDescent="0.25">
      <c r="B26" s="25">
        <v>6</v>
      </c>
      <c r="C26" s="26">
        <v>0.16</v>
      </c>
      <c r="D26" s="59">
        <v>0.28074072961300001</v>
      </c>
      <c r="E26" s="35">
        <f t="shared" si="3"/>
        <v>2.8074072961299998E-4</v>
      </c>
      <c r="F26" s="35">
        <f t="shared" si="1"/>
        <v>2.9267091672506985E-4</v>
      </c>
      <c r="G26" s="40">
        <f t="shared" si="2"/>
        <v>4.0763145329116828</v>
      </c>
      <c r="H26" s="49"/>
      <c r="I26" s="3"/>
      <c r="J26" s="3"/>
      <c r="K26" s="3"/>
      <c r="Y26" s="44">
        <v>0.08</v>
      </c>
      <c r="Z26" s="44"/>
      <c r="AA26" s="44"/>
      <c r="AB26" s="45">
        <f t="shared" si="0"/>
        <v>6.3797664576530132E-5</v>
      </c>
      <c r="AC26" s="4"/>
    </row>
    <row r="27" spans="2:29" x14ac:dyDescent="0.25">
      <c r="B27" s="25">
        <v>7</v>
      </c>
      <c r="C27" s="26">
        <v>0.17</v>
      </c>
      <c r="D27" s="59">
        <v>0.29722594335899999</v>
      </c>
      <c r="E27" s="35">
        <f t="shared" si="3"/>
        <v>2.9722594335899999E-4</v>
      </c>
      <c r="F27" s="35">
        <f t="shared" si="1"/>
        <v>3.1237652041745875E-4</v>
      </c>
      <c r="G27" s="40">
        <f t="shared" si="2"/>
        <v>4.8501011017766595</v>
      </c>
      <c r="H27" s="49"/>
      <c r="I27" s="3"/>
      <c r="J27" s="3"/>
      <c r="K27" s="3"/>
      <c r="Y27" s="44">
        <v>0.09</v>
      </c>
      <c r="Z27" s="44"/>
      <c r="AA27" s="44"/>
      <c r="AB27" s="45">
        <f t="shared" si="0"/>
        <v>7.6724928982564437E-5</v>
      </c>
      <c r="AC27" s="4"/>
    </row>
    <row r="28" spans="2:29" x14ac:dyDescent="0.25">
      <c r="B28" s="25">
        <v>8</v>
      </c>
      <c r="C28" s="26">
        <v>0.18</v>
      </c>
      <c r="D28" s="59">
        <v>0.295995703527</v>
      </c>
      <c r="E28" s="35">
        <f t="shared" si="3"/>
        <v>2.9599570352700002E-4</v>
      </c>
      <c r="F28" s="35">
        <f t="shared" si="1"/>
        <v>3.1032593483505851E-4</v>
      </c>
      <c r="G28" s="40">
        <f t="shared" si="2"/>
        <v>4.617800093206891</v>
      </c>
      <c r="H28" s="49"/>
      <c r="I28" s="3"/>
      <c r="J28" s="3"/>
      <c r="K28" s="3"/>
      <c r="Y28" s="44">
        <v>0.1</v>
      </c>
      <c r="Z28" s="44"/>
      <c r="AA28" s="44"/>
      <c r="AB28" s="45">
        <f t="shared" si="0"/>
        <v>9.3550107805450707E-5</v>
      </c>
      <c r="AC28" s="4"/>
    </row>
    <row r="29" spans="2:29" x14ac:dyDescent="0.25">
      <c r="B29" s="25">
        <v>9</v>
      </c>
      <c r="C29" s="26">
        <v>0.19</v>
      </c>
      <c r="D29" s="59">
        <v>0.274343482488</v>
      </c>
      <c r="E29" s="35">
        <f t="shared" si="3"/>
        <v>2.7434348248799999E-4</v>
      </c>
      <c r="F29" s="35">
        <f t="shared" si="1"/>
        <v>2.8723645328719279E-4</v>
      </c>
      <c r="G29" s="40">
        <f t="shared" si="2"/>
        <v>4.4886262351602655</v>
      </c>
      <c r="H29" s="49"/>
      <c r="I29" s="3"/>
      <c r="J29" s="3"/>
      <c r="K29" s="3"/>
      <c r="Y29" s="44">
        <v>0.11</v>
      </c>
      <c r="Z29" s="44"/>
      <c r="AA29" s="44"/>
      <c r="AB29" s="45">
        <f t="shared" si="0"/>
        <v>1.1533267068585062E-4</v>
      </c>
      <c r="AC29" s="4"/>
    </row>
    <row r="30" spans="2:29" x14ac:dyDescent="0.25">
      <c r="B30" s="25">
        <v>10</v>
      </c>
      <c r="C30" s="26">
        <v>0.2</v>
      </c>
      <c r="D30" s="59">
        <v>0.23940467126500001</v>
      </c>
      <c r="E30" s="35">
        <f t="shared" si="3"/>
        <v>2.3940467126500002E-4</v>
      </c>
      <c r="F30" s="35">
        <f t="shared" si="1"/>
        <v>2.505032449409491E-4</v>
      </c>
      <c r="G30" s="40">
        <f t="shared" si="2"/>
        <v>4.4305109415110913</v>
      </c>
      <c r="H30" s="49"/>
      <c r="I30" s="3"/>
      <c r="J30" s="8"/>
      <c r="K30" s="8"/>
      <c r="L30" s="9"/>
      <c r="M30" s="9"/>
      <c r="N30" s="9"/>
      <c r="Y30" s="44">
        <v>0.12</v>
      </c>
      <c r="Z30" s="44"/>
      <c r="AA30" s="44"/>
      <c r="AB30" s="45">
        <f t="shared" si="0"/>
        <v>1.430781854128215E-4</v>
      </c>
      <c r="AC30" s="4"/>
    </row>
    <row r="31" spans="2:29" x14ac:dyDescent="0.25">
      <c r="B31" s="25">
        <v>11</v>
      </c>
      <c r="C31" s="26">
        <v>0.21</v>
      </c>
      <c r="D31" s="59">
        <v>0.20003699664800001</v>
      </c>
      <c r="E31" s="35">
        <f t="shared" si="3"/>
        <v>2.00036996648E-4</v>
      </c>
      <c r="F31" s="35">
        <f t="shared" si="1"/>
        <v>2.0936155782291726E-4</v>
      </c>
      <c r="G31" s="40">
        <f t="shared" si="2"/>
        <v>4.4538076960643256</v>
      </c>
      <c r="H31" s="49"/>
      <c r="Y31" s="44">
        <v>0.13</v>
      </c>
      <c r="Z31" s="44"/>
      <c r="AA31" s="44"/>
      <c r="AB31" s="45">
        <f t="shared" si="0"/>
        <v>1.7723645028775106E-4</v>
      </c>
      <c r="AC31" s="4"/>
    </row>
    <row r="32" spans="2:29" x14ac:dyDescent="0.25">
      <c r="B32" s="25">
        <v>12</v>
      </c>
      <c r="C32" s="26">
        <v>0.22</v>
      </c>
      <c r="D32" s="59">
        <v>0.16632842525700001</v>
      </c>
      <c r="E32" s="35">
        <f t="shared" si="3"/>
        <v>1.6632842525700001E-4</v>
      </c>
      <c r="F32" s="35">
        <f t="shared" si="1"/>
        <v>1.7063298816090951E-4</v>
      </c>
      <c r="G32" s="40">
        <f t="shared" si="2"/>
        <v>2.5227026440222855</v>
      </c>
      <c r="H32" s="49"/>
      <c r="I32" s="3"/>
      <c r="J32" s="8"/>
      <c r="K32" s="8"/>
      <c r="L32" s="9"/>
      <c r="M32" s="9"/>
      <c r="N32" s="9"/>
      <c r="Y32" s="44">
        <v>0.14000000000000001</v>
      </c>
      <c r="Z32" s="44"/>
      <c r="AA32" s="44"/>
      <c r="AB32" s="45">
        <f t="shared" si="0"/>
        <v>2.1673871604604048E-4</v>
      </c>
      <c r="AC32" s="4"/>
    </row>
    <row r="33" spans="2:29" ht="15.75" thickBot="1" x14ac:dyDescent="0.3">
      <c r="B33" s="25">
        <v>13</v>
      </c>
      <c r="C33" s="26">
        <v>0.23</v>
      </c>
      <c r="D33" s="59">
        <v>0.12917518233700001</v>
      </c>
      <c r="E33" s="35">
        <f t="shared" si="3"/>
        <v>1.29175182337E-4</v>
      </c>
      <c r="F33" s="35">
        <f t="shared" si="1"/>
        <v>1.3761065741895075E-4</v>
      </c>
      <c r="G33" s="40">
        <f t="shared" si="2"/>
        <v>6.1299576938065501</v>
      </c>
      <c r="H33" s="49"/>
      <c r="I33" s="3"/>
      <c r="J33" s="3"/>
      <c r="K33" s="3"/>
      <c r="Y33" s="44">
        <v>0.15</v>
      </c>
      <c r="Z33" s="44"/>
      <c r="AA33" s="44"/>
      <c r="AB33" s="45">
        <f t="shared" si="0"/>
        <v>2.576930686853143E-4</v>
      </c>
      <c r="AC33" s="4"/>
    </row>
    <row r="34" spans="2:29" ht="15.75" thickBot="1" x14ac:dyDescent="0.3">
      <c r="B34" s="27">
        <v>14</v>
      </c>
      <c r="C34" s="28">
        <v>0.24</v>
      </c>
      <c r="D34" s="60">
        <v>0.105554577567</v>
      </c>
      <c r="E34" s="36">
        <f t="shared" si="3"/>
        <v>1.05554577567E-4</v>
      </c>
      <c r="F34" s="38">
        <f t="shared" si="1"/>
        <v>1.1099758231486077E-4</v>
      </c>
      <c r="G34" s="41">
        <f t="shared" si="2"/>
        <v>4.9037146885063585</v>
      </c>
      <c r="H34" s="49"/>
      <c r="I34" s="72" t="s">
        <v>19</v>
      </c>
      <c r="J34" s="73"/>
      <c r="K34" s="73"/>
      <c r="L34" s="73"/>
      <c r="M34" s="73"/>
      <c r="N34" s="73"/>
      <c r="O34" s="73"/>
      <c r="P34" s="73"/>
      <c r="Q34" s="54">
        <f>E18</f>
        <v>0.1741</v>
      </c>
      <c r="R34" s="55" t="s">
        <v>18</v>
      </c>
      <c r="Y34" s="44">
        <v>0.16</v>
      </c>
      <c r="Z34" s="44"/>
      <c r="AA34" s="44"/>
      <c r="AB34" s="45">
        <f t="shared" si="0"/>
        <v>2.9267091672506985E-4</v>
      </c>
      <c r="AC34" s="4"/>
    </row>
    <row r="35" spans="2:29" x14ac:dyDescent="0.25">
      <c r="F35" s="3"/>
      <c r="G35" s="4"/>
      <c r="H35" s="4"/>
      <c r="I35" s="3"/>
      <c r="K35" s="3"/>
      <c r="Y35" s="44">
        <v>0.17</v>
      </c>
      <c r="Z35" s="44"/>
      <c r="AA35" s="44"/>
      <c r="AB35" s="45">
        <f t="shared" si="0"/>
        <v>3.1237652041745875E-4</v>
      </c>
      <c r="AC35" s="4"/>
    </row>
    <row r="36" spans="2:29" x14ac:dyDescent="0.25">
      <c r="B36" s="71" t="s">
        <v>21</v>
      </c>
      <c r="C36" s="71"/>
      <c r="D36" s="71"/>
      <c r="E36" s="71"/>
      <c r="F36" s="71"/>
      <c r="G36" s="71"/>
      <c r="H36" s="50"/>
      <c r="Y36" s="44">
        <v>0.18</v>
      </c>
      <c r="Z36" s="44"/>
      <c r="AA36" s="44"/>
      <c r="AB36" s="45">
        <f t="shared" si="0"/>
        <v>3.1032593483505851E-4</v>
      </c>
      <c r="AC36" s="4"/>
    </row>
    <row r="37" spans="2:29" ht="6.75" customHeight="1" thickBot="1" x14ac:dyDescent="0.3">
      <c r="H37" s="51"/>
      <c r="Y37" s="44">
        <v>0.19</v>
      </c>
      <c r="Z37" s="44"/>
      <c r="AA37" s="44"/>
      <c r="AB37" s="45">
        <f t="shared" si="0"/>
        <v>2.8723645328719279E-4</v>
      </c>
      <c r="AC37" s="4"/>
    </row>
    <row r="38" spans="2:29" ht="33.75" thickBot="1" x14ac:dyDescent="0.3">
      <c r="B38" s="15" t="s">
        <v>24</v>
      </c>
      <c r="C38" s="14" t="s">
        <v>25</v>
      </c>
      <c r="D38" s="43" t="s">
        <v>26</v>
      </c>
      <c r="E38" s="42" t="s">
        <v>27</v>
      </c>
      <c r="F38" s="74" t="s">
        <v>28</v>
      </c>
      <c r="G38" s="75"/>
      <c r="H38" s="52"/>
      <c r="Y38" s="44">
        <v>0.2</v>
      </c>
      <c r="Z38" s="44"/>
      <c r="AA38" s="44"/>
      <c r="AB38" s="45">
        <f t="shared" si="0"/>
        <v>2.505032449409491E-4</v>
      </c>
      <c r="AC38" s="4"/>
    </row>
    <row r="39" spans="2:29" ht="15.75" thickBot="1" x14ac:dyDescent="0.3">
      <c r="B39" s="61">
        <v>7.0190000000000004E-5</v>
      </c>
      <c r="C39" s="29">
        <f>B39/1000</f>
        <v>7.0190000000000008E-8</v>
      </c>
      <c r="D39" s="30">
        <f>2*C39/(D13*C18*(B13/2)^2)</f>
        <v>1.1979093333333334E-6</v>
      </c>
      <c r="E39" s="29">
        <f>$C$13</f>
        <v>1.2566370614359173E-6</v>
      </c>
      <c r="F39" s="76">
        <f>100*ABS((D39-E39)/E39)</f>
        <v>4.6734041120415224</v>
      </c>
      <c r="G39" s="77"/>
      <c r="H39" s="53"/>
      <c r="Y39" s="44">
        <v>0.21</v>
      </c>
      <c r="Z39" s="44"/>
      <c r="AA39" s="44"/>
      <c r="AB39" s="45">
        <f t="shared" si="0"/>
        <v>2.0936155782291726E-4</v>
      </c>
      <c r="AC39" s="4"/>
    </row>
    <row r="40" spans="2:29" x14ac:dyDescent="0.25">
      <c r="Y40" s="44">
        <v>0.22</v>
      </c>
      <c r="Z40" s="44"/>
      <c r="AA40" s="44"/>
      <c r="AB40" s="45">
        <f t="shared" si="0"/>
        <v>1.7063298816090951E-4</v>
      </c>
      <c r="AC40" s="4"/>
    </row>
    <row r="41" spans="2:29" x14ac:dyDescent="0.25">
      <c r="Y41" s="44">
        <v>0.23</v>
      </c>
      <c r="Z41" s="44"/>
      <c r="AA41" s="44"/>
      <c r="AB41" s="45">
        <f t="shared" si="0"/>
        <v>1.3761065741895075E-4</v>
      </c>
      <c r="AC41" s="4"/>
    </row>
    <row r="42" spans="2:29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Y42" s="44">
        <v>0.24</v>
      </c>
      <c r="Z42" s="44"/>
      <c r="AA42" s="44"/>
      <c r="AB42" s="45">
        <f t="shared" si="0"/>
        <v>1.1099758231486077E-4</v>
      </c>
      <c r="AC42" s="4"/>
    </row>
    <row r="43" spans="2:29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Y43" s="44">
        <v>0.25</v>
      </c>
      <c r="Z43" s="44"/>
      <c r="AA43" s="44"/>
      <c r="AB43" s="45">
        <f t="shared" si="0"/>
        <v>9.0187499247460154E-5</v>
      </c>
      <c r="AC43" s="4"/>
    </row>
    <row r="44" spans="2:29" ht="15.75" customHeight="1" x14ac:dyDescent="0.25">
      <c r="B44" s="3"/>
      <c r="C44" s="62"/>
      <c r="D44" s="62"/>
      <c r="E44" s="62"/>
      <c r="F44" s="62"/>
      <c r="G44" s="3"/>
      <c r="H44" s="3"/>
      <c r="I44" s="3"/>
      <c r="J44" s="3"/>
      <c r="K44" s="3"/>
      <c r="L44" s="3"/>
      <c r="M44" s="3"/>
      <c r="N44" s="3"/>
      <c r="O44" s="3"/>
      <c r="P44" s="3"/>
      <c r="Y44" s="44">
        <v>0.26</v>
      </c>
      <c r="Z44" s="44"/>
      <c r="AA44" s="44"/>
      <c r="AB44" s="45">
        <f t="shared" si="0"/>
        <v>7.4139368819819157E-5</v>
      </c>
      <c r="AC44" s="4"/>
    </row>
    <row r="45" spans="2:29" x14ac:dyDescent="0.25"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Y45" s="44">
        <v>0.27</v>
      </c>
      <c r="Z45" s="44"/>
      <c r="AA45" s="44"/>
      <c r="AB45" s="45">
        <f t="shared" si="0"/>
        <v>6.1811020833588213E-5</v>
      </c>
      <c r="AC45" s="4"/>
    </row>
    <row r="46" spans="2:29" x14ac:dyDescent="0.25"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Y46" s="44">
        <v>0.28000000000000003</v>
      </c>
      <c r="Z46" s="44"/>
      <c r="AA46" s="44"/>
      <c r="AB46" s="45">
        <f t="shared" si="0"/>
        <v>5.2319326791441535E-5</v>
      </c>
      <c r="AC46" s="4"/>
    </row>
    <row r="47" spans="2:29" x14ac:dyDescent="0.25">
      <c r="B47" s="4"/>
      <c r="C47" s="4"/>
      <c r="D47" s="4"/>
      <c r="E47" s="4"/>
      <c r="F47" s="4"/>
      <c r="G47" s="4"/>
      <c r="H47" s="4"/>
      <c r="I47" s="3"/>
      <c r="J47" s="3"/>
      <c r="K47" s="3"/>
      <c r="L47" s="3"/>
      <c r="M47" s="3"/>
      <c r="N47" s="3"/>
      <c r="O47" s="3"/>
      <c r="P47" s="3"/>
      <c r="Y47" s="44">
        <v>0.28999999999999998</v>
      </c>
      <c r="Z47" s="44"/>
      <c r="AA47" s="44"/>
      <c r="AB47" s="45">
        <f t="shared" si="0"/>
        <v>4.4969488708803415E-5</v>
      </c>
      <c r="AC47" s="4"/>
    </row>
    <row r="48" spans="2:29" x14ac:dyDescent="0.25">
      <c r="B48" s="4"/>
      <c r="C48" s="4"/>
      <c r="D48" s="11"/>
      <c r="E48" s="4"/>
      <c r="F48" s="4"/>
      <c r="G48" s="4"/>
      <c r="H48" s="4"/>
      <c r="I48" s="3"/>
      <c r="J48" s="3"/>
      <c r="K48" s="3"/>
      <c r="L48" s="3"/>
      <c r="M48" s="3"/>
      <c r="N48" s="3"/>
      <c r="O48" s="3"/>
      <c r="P48" s="3"/>
      <c r="Y48" s="44">
        <v>0.3</v>
      </c>
      <c r="Z48" s="44"/>
      <c r="AA48" s="44"/>
      <c r="AB48" s="45">
        <f t="shared" si="0"/>
        <v>3.9234148212533728E-5</v>
      </c>
      <c r="AC48" s="4"/>
    </row>
    <row r="49" spans="2:29" x14ac:dyDescent="0.25">
      <c r="B49" s="4"/>
      <c r="C49" s="4"/>
      <c r="D49" s="11"/>
      <c r="E49" s="4"/>
      <c r="F49" s="4"/>
      <c r="G49" s="4"/>
      <c r="H49" s="4"/>
      <c r="I49" s="3"/>
      <c r="J49" s="3"/>
      <c r="K49" s="3"/>
      <c r="L49" s="3"/>
      <c r="M49" s="3"/>
      <c r="N49" s="3"/>
      <c r="O49" s="3"/>
      <c r="P49" s="3"/>
      <c r="Y49" s="44">
        <v>0.31</v>
      </c>
      <c r="Z49" s="44"/>
      <c r="AA49" s="44"/>
      <c r="AB49" s="45">
        <f t="shared" si="0"/>
        <v>3.4719603060450397E-5</v>
      </c>
      <c r="AC49" s="4"/>
    </row>
    <row r="50" spans="2:29" x14ac:dyDescent="0.25">
      <c r="B50" s="4"/>
      <c r="C50" s="4"/>
      <c r="D50" s="11"/>
      <c r="E50" s="4"/>
      <c r="F50" s="4"/>
      <c r="G50" s="4"/>
      <c r="H50" s="4"/>
      <c r="I50" s="3"/>
      <c r="J50" s="3"/>
      <c r="K50" s="3"/>
      <c r="L50" s="3"/>
      <c r="M50" s="3"/>
      <c r="N50" s="3"/>
      <c r="O50" s="3"/>
      <c r="P50" s="3"/>
      <c r="Y50" s="44">
        <v>0.32</v>
      </c>
      <c r="Z50" s="44"/>
      <c r="AA50" s="44"/>
      <c r="AB50" s="45">
        <f t="shared" si="0"/>
        <v>3.1133645433750305E-5</v>
      </c>
      <c r="AC50" s="4"/>
    </row>
    <row r="51" spans="2:29" x14ac:dyDescent="0.25">
      <c r="B51" s="4"/>
      <c r="C51" s="4"/>
      <c r="D51" s="11"/>
      <c r="E51" s="4"/>
      <c r="F51" s="4"/>
      <c r="G51" s="4"/>
      <c r="H51" s="4"/>
      <c r="I51" s="3"/>
      <c r="J51" s="3"/>
      <c r="K51" s="3"/>
      <c r="L51" s="3"/>
      <c r="M51" s="3"/>
      <c r="N51" s="3"/>
      <c r="O51" s="3"/>
      <c r="P51" s="3"/>
      <c r="Y51" s="44">
        <v>0.33</v>
      </c>
      <c r="Z51" s="44"/>
      <c r="AA51" s="44"/>
      <c r="AB51" s="45">
        <f t="shared" si="0"/>
        <v>2.8259321455707473E-5</v>
      </c>
      <c r="AC51" s="4"/>
    </row>
    <row r="52" spans="2:29" x14ac:dyDescent="0.25">
      <c r="B52" s="4"/>
      <c r="C52" s="4"/>
      <c r="D52" s="11"/>
      <c r="E52" s="4"/>
      <c r="F52" s="4"/>
      <c r="G52" s="4"/>
      <c r="H52" s="4"/>
      <c r="I52" s="3"/>
      <c r="J52" s="3"/>
      <c r="K52" s="3"/>
      <c r="L52" s="3"/>
      <c r="M52" s="3"/>
      <c r="N52" s="3"/>
      <c r="O52" s="3"/>
      <c r="P52" s="3"/>
      <c r="Y52" s="44">
        <v>0.34</v>
      </c>
      <c r="Z52" s="44"/>
      <c r="AA52" s="44"/>
      <c r="AB52" s="45">
        <f t="shared" si="0"/>
        <v>2.5934905738649039E-5</v>
      </c>
      <c r="AC52" s="4"/>
    </row>
    <row r="53" spans="2:29" x14ac:dyDescent="0.25">
      <c r="B53" s="4"/>
      <c r="C53" s="4"/>
      <c r="D53" s="11"/>
      <c r="E53" s="4"/>
      <c r="F53" s="4"/>
      <c r="G53" s="4"/>
      <c r="H53" s="4"/>
      <c r="I53" s="3"/>
      <c r="J53" s="3"/>
      <c r="K53" s="3"/>
      <c r="L53" s="3"/>
      <c r="M53" s="3"/>
      <c r="N53" s="3"/>
      <c r="O53" s="3"/>
      <c r="P53" s="3"/>
      <c r="Y53" s="44">
        <v>0.35</v>
      </c>
      <c r="Z53" s="44"/>
      <c r="AA53" s="44"/>
      <c r="AB53" s="45">
        <f t="shared" si="0"/>
        <v>2.4039101206723989E-5</v>
      </c>
      <c r="AC53" s="4"/>
    </row>
  </sheetData>
  <sheetProtection algorithmName="SHA-512" hashValue="QksO+8CJ6tp2BTqWBNhVDhpMff4vg540dY/Uf/kuwhbltMy/fKL/0wAU17Qdqw5jCkg7Xqfj5kj3TsWIltJb2A==" saltValue="oen/WmTXgzbJgpcJxgQ9/g==" spinCount="100000" sheet="1" objects="1" scenarios="1"/>
  <mergeCells count="15">
    <mergeCell ref="B10:D10"/>
    <mergeCell ref="B36:G36"/>
    <mergeCell ref="I34:P34"/>
    <mergeCell ref="F38:G38"/>
    <mergeCell ref="F39:G39"/>
    <mergeCell ref="B16:G16"/>
    <mergeCell ref="N6:R6"/>
    <mergeCell ref="D2:M6"/>
    <mergeCell ref="B8:G8"/>
    <mergeCell ref="H8:R8"/>
    <mergeCell ref="B2:C6"/>
    <mergeCell ref="N4:R4"/>
    <mergeCell ref="N3:R3"/>
    <mergeCell ref="N2:R2"/>
    <mergeCell ref="N5:R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Alejandro Garate Ayesta</dc:creator>
  <cp:lastModifiedBy>LAB-USR-LSUR</cp:lastModifiedBy>
  <dcterms:created xsi:type="dcterms:W3CDTF">2015-11-13T19:45:04Z</dcterms:created>
  <dcterms:modified xsi:type="dcterms:W3CDTF">2026-06-21T00:31:30Z</dcterms:modified>
</cp:coreProperties>
</file>